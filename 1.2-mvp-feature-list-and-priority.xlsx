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VP Feature List" sheetId="1" state="visible" r:id="rId3"/>
    <sheet name="Summary" sheetId="2" state="visible" r:id="rId4"/>
  </sheets>
  <definedNames>
    <definedName function="false" hidden="true" localSheetId="0" name="_xlnm._FilterDatabase" vbProcedure="false">'MVP Feature List'!$A$1:$E$35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<sst xmlns="http://schemas.openxmlformats.org/spreadsheetml/2006/main" count="161" uniqueCount="88">
  <si>
    <t xml:space="preserve">#</t>
  </si>
  <si>
    <t xml:space="preserve">Module</t>
  </si>
  <si>
    <t xml:space="preserve">Feature</t>
  </si>
  <si>
    <t xml:space="preserve">Priority</t>
  </si>
  <si>
    <t xml:space="preserve">Reason</t>
  </si>
  <si>
    <t xml:space="preserve">Customer Side</t>
  </si>
  <si>
    <t xml:space="preserve">Login / Registration (phone or email + verification code)</t>
  </si>
  <si>
    <t xml:space="preserve">P0</t>
  </si>
  <si>
    <t xml:space="preserve">Orders, addresses and payments must be tied to an identity</t>
  </si>
  <si>
    <t xml:space="preserve">Third-party login (WeChat, Google, etc.)</t>
  </si>
  <si>
    <t xml:space="preserve">P2</t>
  </si>
  <si>
    <t xml:space="preserve">Convenience only; basic login already works</t>
  </si>
  <si>
    <t xml:space="preserve">Product List (basic list with image, title, price, pagination)</t>
  </si>
  <si>
    <t xml:space="preserve">Customers need an entry point to discover products</t>
  </si>
  <si>
    <t xml:space="preserve">Product Detail Page (images, price, SKU selector, stock status, description)</t>
  </si>
  <si>
    <t xml:space="preserve">Customers must see product information and select a SKU before ordering</t>
  </si>
  <si>
    <t xml:space="preserve">Category Filter (one-level or two-level navigation)</t>
  </si>
  <si>
    <t xml:space="preserve">Minimum browsing structure; without it a catalog of any size is unusable</t>
  </si>
  <si>
    <t xml:space="preserve">Keyword Search (basic title match)</t>
  </si>
  <si>
    <t xml:space="preserve">P1</t>
  </si>
  <si>
    <t xml:space="preserve">Greatly improves findability, but customers can still browse by category in a small catalog</t>
  </si>
  <si>
    <t xml:space="preserve">Search sorting and advanced filters (price, sales, rating)</t>
  </si>
  <si>
    <t xml:space="preserve">Optimization for larger catalogs, not needed to validate the flow</t>
  </si>
  <si>
    <t xml:space="preserve">Shopping Cart (add, edit quantity, remove, select items)</t>
  </si>
  <si>
    <t xml:space="preserve">Part of the defined core flow and supports multi-item purchases</t>
  </si>
  <si>
    <t xml:space="preserve">Buy Now (single item, skip cart)</t>
  </si>
  <si>
    <t xml:space="preserve">Shortens the path for single-item purchases; cart still covers the need</t>
  </si>
  <si>
    <t xml:space="preserve">Submit Order (address, item confirmation, price summary, stock check)</t>
  </si>
  <si>
    <t xml:space="preserve">This is where the order is created; no order means no transaction</t>
  </si>
  <si>
    <t xml:space="preserve">Address Management (add, edit, set default)</t>
  </si>
  <si>
    <t xml:space="preserve">Shipping requires a valid address; can be a simple form in MVP</t>
  </si>
  <si>
    <t xml:space="preserve">Payment (one primary online channel, payment result page, timeout handling)</t>
  </si>
  <si>
    <t xml:space="preserve">Without payment there is no revenue and the flow cannot proceed to shipment</t>
  </si>
  <si>
    <t xml:space="preserve">Multiple payment channels</t>
  </si>
  <si>
    <t xml:space="preserve">One reliable channel is enough to validate; add more by market demand</t>
  </si>
  <si>
    <t xml:space="preserve">Order List / Order Detail (status, items, amount, logistics info)</t>
  </si>
  <si>
    <t xml:space="preserve">Customers must confirm the order succeeded and track its progress</t>
  </si>
  <si>
    <t xml:space="preserve">Cancel Order (unpaid orders, and paid orders before shipment)</t>
  </si>
  <si>
    <t xml:space="preserve">Basic user control and a prerequisite for releasing locked stock</t>
  </si>
  <si>
    <t xml:space="preserve">Refund (full refund for cancelled paid orders)</t>
  </si>
  <si>
    <t xml:space="preserve">Needed for trust and compliance, but can be handled manually by the admin at first</t>
  </si>
  <si>
    <t xml:space="preserve">Return / after-sales workflow (partial refund, return logistics)</t>
  </si>
  <si>
    <t xml:space="preserve">Complex process; not required to complete the core flow</t>
  </si>
  <si>
    <t xml:space="preserve">Confirm Receipt (with auto-confirm after N days)</t>
  </si>
  <si>
    <t xml:space="preserve">Closes the loop to "Complete Order"; auto-confirm can cover the gap</t>
  </si>
  <si>
    <t xml:space="preserve">Coupons, points, promotions</t>
  </si>
  <si>
    <t xml:space="preserve">Growth features; not required for the basic transaction flow</t>
  </si>
  <si>
    <t xml:space="preserve">Reviews and ratings, wishlist, recommendations</t>
  </si>
  <si>
    <t xml:space="preserve">Retention and conversion boosters for later iterations</t>
  </si>
  <si>
    <t xml:space="preserve">Admin Side</t>
  </si>
  <si>
    <t xml:space="preserve">Product Management (create, edit, price, on/off shelf, images)</t>
  </si>
  <si>
    <t xml:space="preserve">Products must exist before they can be sold</t>
  </si>
  <si>
    <t xml:space="preserve">Category Management</t>
  </si>
  <si>
    <t xml:space="preserve">Needed to support customer-side category navigation</t>
  </si>
  <si>
    <t xml:space="preserve">SKU / Inventory Management (SKU creation, stock view, manual adjustment)</t>
  </si>
  <si>
    <t xml:space="preserve">Prevents overselling and is required to confirm availability at order time</t>
  </si>
  <si>
    <t xml:space="preserve">Low-stock alert</t>
  </si>
  <si>
    <t xml:space="preserve">Improves operational efficiency; staff can check manually at first</t>
  </si>
  <si>
    <t xml:space="preserve">Bulk import/export of products and stock</t>
  </si>
  <si>
    <t xml:space="preserve">Efficiency tool for large catalogs; manual entry works for MVP</t>
  </si>
  <si>
    <t xml:space="preserve">Order Management (list, filter by status/time/order no., view detail)</t>
  </si>
  <si>
    <t xml:space="preserve">Operations must see paid orders to fulfill them</t>
  </si>
  <si>
    <t xml:space="preserve">Abnormal order handling (manual close, manual refund, status correction)</t>
  </si>
  <si>
    <t xml:space="preserve">Safety net for payment or stock anomalies; low volume early on, but critical for trust</t>
  </si>
  <si>
    <t xml:space="preserve">Shipment Management (select carrier, enter tracking number, mark as shipped)</t>
  </si>
  <si>
    <t xml:space="preserve">Without it the flow cannot move from Paid to Shipped</t>
  </si>
  <si>
    <t xml:space="preserve">Logistics API integration and auto-tracking</t>
  </si>
  <si>
    <t xml:space="preserve">Manual tracking number entry is enough for MVP</t>
  </si>
  <si>
    <t xml:space="preserve">Batch shipping and print shipping labels</t>
  </si>
  <si>
    <t xml:space="preserve">Efficiency optimization for higher order volume</t>
  </si>
  <si>
    <t xml:space="preserve">User Management (staff accounts, basic role permissions: operations vs. admin)</t>
  </si>
  <si>
    <t xml:space="preserve">Needed for access control and audit, but a single shared role can work in early testing</t>
  </si>
  <si>
    <t xml:space="preserve">Customer account management (view, disable)</t>
  </si>
  <si>
    <t xml:space="preserve">Not needed for transactions; mainly a risk-control feature</t>
  </si>
  <si>
    <t xml:space="preserve">Data Dashboard (orders, GMV, payment success rate, conversion funnel)</t>
  </si>
  <si>
    <t xml:space="preserve">Essential to evaluate the MVP, but not required for orders to flow; can start with simple metrics or a database query</t>
  </si>
  <si>
    <t xml:space="preserve">Advanced analytics and reports</t>
  </si>
  <si>
    <t xml:space="preserve">Deeper analysis can wait until there is enough data</t>
  </si>
  <si>
    <t xml:space="preserve">MVP Priority Summary</t>
  </si>
  <si>
    <t xml:space="preserve">Counts update automatically from the 'MVP Feature List' sheet.</t>
  </si>
  <si>
    <t xml:space="preserve">Total</t>
  </si>
  <si>
    <t xml:space="preserve">% of Total</t>
  </si>
  <si>
    <t xml:space="preserve">Priority definitions</t>
  </si>
  <si>
    <t xml:space="preserve">Must-have. Without it the basic transaction flow cannot work.</t>
  </si>
  <si>
    <t xml:space="preserve">Should-have. Improves user experience or operational efficiency; a manual fallback exists.</t>
  </si>
  <si>
    <t xml:space="preserve">Nice-to-have. Growth or scale features that can be added in later iterations.</t>
  </si>
  <si>
    <t xml:space="preserve">Scoping note</t>
  </si>
  <si>
    <t xml:space="preserve">'Buy Now' is rated P1 because the cart already completes the same path. If most purchases are expected to be single-item, promote it to P0 at little extra cost.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</si>
</sst>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F4C5C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F4C5C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4C5C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4C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customFormat="false" ht="15" hidden="false" customHeight="false" outlineLevel="0" collapsed="false">
      <c r="A3" s="2" t="n">
        <v>2</v>
      </c>
      <c r="B3" s="3" t="s">
        <v>5</v>
      </c>
      <c r="C3" s="3" t="s">
        <v>9</v>
      </c>
      <c r="D3" s="5" t="s">
        <v>10</v>
      </c>
      <c r="E3" s="3" t="s">
        <v>11</v>
      </c>
    </row>
    <row r="4" customFormat="false" ht="15" hidden="false" customHeight="false" outlineLevel="0" collapsed="false">
      <c r="A4" s="2" t="n">
        <v>3</v>
      </c>
      <c r="B4" s="3" t="s">
        <v>5</v>
      </c>
      <c r="C4" s="3" t="s">
        <v>12</v>
      </c>
      <c r="D4" s="4" t="s">
        <v>7</v>
      </c>
      <c r="E4" s="3" t="s">
        <v>13</v>
      </c>
    </row>
    <row r="5" customFormat="false" ht="15" hidden="false" customHeight="false" outlineLevel="0" collapsed="false">
      <c r="A5" s="2" t="n">
        <v>4</v>
      </c>
      <c r="B5" s="3" t="s">
        <v>5</v>
      </c>
      <c r="C5" s="3" t="s">
        <v>14</v>
      </c>
      <c r="D5" s="4" t="s">
        <v>7</v>
      </c>
      <c r="E5" s="3" t="s">
        <v>15</v>
      </c>
    </row>
    <row r="6" customFormat="false" ht="15" hidden="false" customHeight="false" outlineLevel="0" collapsed="false">
      <c r="A6" s="2" t="n">
        <v>5</v>
      </c>
      <c r="B6" s="3" t="s">
        <v>5</v>
      </c>
      <c r="C6" s="3" t="s">
        <v>16</v>
      </c>
      <c r="D6" s="4" t="s">
        <v>7</v>
      </c>
      <c r="E6" s="3" t="s">
        <v>17</v>
      </c>
    </row>
    <row r="7" customFormat="false" ht="23.85" hidden="false" customHeight="false" outlineLevel="0" collapsed="false">
      <c r="A7" s="2" t="n">
        <v>6</v>
      </c>
      <c r="B7" s="3" t="s">
        <v>5</v>
      </c>
      <c r="C7" s="3" t="s">
        <v>18</v>
      </c>
      <c r="D7" s="6" t="s">
        <v>19</v>
      </c>
      <c r="E7" s="3" t="s">
        <v>20</v>
      </c>
    </row>
    <row r="8" customFormat="false" ht="15" hidden="false" customHeight="false" outlineLevel="0" collapsed="false">
      <c r="A8" s="2" t="n">
        <v>7</v>
      </c>
      <c r="B8" s="3" t="s">
        <v>5</v>
      </c>
      <c r="C8" s="3" t="s">
        <v>21</v>
      </c>
      <c r="D8" s="5" t="s">
        <v>10</v>
      </c>
      <c r="E8" s="3" t="s">
        <v>22</v>
      </c>
    </row>
    <row r="9" customFormat="false" ht="15" hidden="false" customHeight="false" outlineLevel="0" collapsed="false">
      <c r="A9" s="2" t="n">
        <v>8</v>
      </c>
      <c r="B9" s="3" t="s">
        <v>5</v>
      </c>
      <c r="C9" s="3" t="s">
        <v>23</v>
      </c>
      <c r="D9" s="4" t="s">
        <v>7</v>
      </c>
      <c r="E9" s="3" t="s">
        <v>24</v>
      </c>
    </row>
    <row r="10" customFormat="false" ht="15" hidden="false" customHeight="false" outlineLevel="0" collapsed="false">
      <c r="A10" s="2" t="n">
        <v>9</v>
      </c>
      <c r="B10" s="3" t="s">
        <v>5</v>
      </c>
      <c r="C10" s="3" t="s">
        <v>25</v>
      </c>
      <c r="D10" s="6" t="s">
        <v>19</v>
      </c>
      <c r="E10" s="3" t="s">
        <v>26</v>
      </c>
    </row>
    <row r="11" customFormat="false" ht="15" hidden="false" customHeight="false" outlineLevel="0" collapsed="false">
      <c r="A11" s="2" t="n">
        <v>10</v>
      </c>
      <c r="B11" s="3" t="s">
        <v>5</v>
      </c>
      <c r="C11" s="3" t="s">
        <v>27</v>
      </c>
      <c r="D11" s="4" t="s">
        <v>7</v>
      </c>
      <c r="E11" s="3" t="s">
        <v>28</v>
      </c>
    </row>
    <row r="12" customFormat="false" ht="15" hidden="false" customHeight="false" outlineLevel="0" collapsed="false">
      <c r="A12" s="2" t="n">
        <v>11</v>
      </c>
      <c r="B12" s="3" t="s">
        <v>5</v>
      </c>
      <c r="C12" s="3" t="s">
        <v>29</v>
      </c>
      <c r="D12" s="4" t="s">
        <v>7</v>
      </c>
      <c r="E12" s="3" t="s">
        <v>30</v>
      </c>
    </row>
    <row r="13" customFormat="false" ht="23.85" hidden="false" customHeight="false" outlineLevel="0" collapsed="false">
      <c r="A13" s="2" t="n">
        <v>12</v>
      </c>
      <c r="B13" s="3" t="s">
        <v>5</v>
      </c>
      <c r="C13" s="3" t="s">
        <v>31</v>
      </c>
      <c r="D13" s="4" t="s">
        <v>7</v>
      </c>
      <c r="E13" s="3" t="s">
        <v>32</v>
      </c>
    </row>
    <row r="14" customFormat="false" ht="15" hidden="false" customHeight="false" outlineLevel="0" collapsed="false">
      <c r="A14" s="2" t="n">
        <v>13</v>
      </c>
      <c r="B14" s="3" t="s">
        <v>5</v>
      </c>
      <c r="C14" s="3" t="s">
        <v>33</v>
      </c>
      <c r="D14" s="5" t="s">
        <v>10</v>
      </c>
      <c r="E14" s="3" t="s">
        <v>34</v>
      </c>
    </row>
    <row r="15" customFormat="false" ht="15" hidden="false" customHeight="false" outlineLevel="0" collapsed="false">
      <c r="A15" s="2" t="n">
        <v>14</v>
      </c>
      <c r="B15" s="3" t="s">
        <v>5</v>
      </c>
      <c r="C15" s="3" t="s">
        <v>35</v>
      </c>
      <c r="D15" s="4" t="s">
        <v>7</v>
      </c>
      <c r="E15" s="3" t="s">
        <v>36</v>
      </c>
    </row>
    <row r="16" customFormat="false" ht="15" hidden="false" customHeight="false" outlineLevel="0" collapsed="false">
      <c r="A16" s="2" t="n">
        <v>15</v>
      </c>
      <c r="B16" s="3" t="s">
        <v>5</v>
      </c>
      <c r="C16" s="3" t="s">
        <v>37</v>
      </c>
      <c r="D16" s="4" t="s">
        <v>7</v>
      </c>
      <c r="E16" s="3" t="s">
        <v>38</v>
      </c>
    </row>
    <row r="17" customFormat="false" ht="15" hidden="false" customHeight="false" outlineLevel="0" collapsed="false">
      <c r="A17" s="2" t="n">
        <v>16</v>
      </c>
      <c r="B17" s="3" t="s">
        <v>5</v>
      </c>
      <c r="C17" s="3" t="s">
        <v>39</v>
      </c>
      <c r="D17" s="6" t="s">
        <v>19</v>
      </c>
      <c r="E17" s="3" t="s">
        <v>40</v>
      </c>
    </row>
    <row r="18" customFormat="false" ht="15" hidden="false" customHeight="false" outlineLevel="0" collapsed="false">
      <c r="A18" s="2" t="n">
        <v>17</v>
      </c>
      <c r="B18" s="3" t="s">
        <v>5</v>
      </c>
      <c r="C18" s="3" t="s">
        <v>41</v>
      </c>
      <c r="D18" s="5" t="s">
        <v>10</v>
      </c>
      <c r="E18" s="3" t="s">
        <v>42</v>
      </c>
    </row>
    <row r="19" customFormat="false" ht="15" hidden="false" customHeight="false" outlineLevel="0" collapsed="false">
      <c r="A19" s="2" t="n">
        <v>18</v>
      </c>
      <c r="B19" s="3" t="s">
        <v>5</v>
      </c>
      <c r="C19" s="3" t="s">
        <v>43</v>
      </c>
      <c r="D19" s="6" t="s">
        <v>19</v>
      </c>
      <c r="E19" s="3" t="s">
        <v>44</v>
      </c>
    </row>
    <row r="20" customFormat="false" ht="15" hidden="false" customHeight="false" outlineLevel="0" collapsed="false">
      <c r="A20" s="2" t="n">
        <v>19</v>
      </c>
      <c r="B20" s="3" t="s">
        <v>5</v>
      </c>
      <c r="C20" s="3" t="s">
        <v>45</v>
      </c>
      <c r="D20" s="5" t="s">
        <v>10</v>
      </c>
      <c r="E20" s="3" t="s">
        <v>46</v>
      </c>
    </row>
    <row r="21" customFormat="false" ht="15" hidden="false" customHeight="false" outlineLevel="0" collapsed="false">
      <c r="A21" s="2" t="n">
        <v>20</v>
      </c>
      <c r="B21" s="3" t="s">
        <v>5</v>
      </c>
      <c r="C21" s="3" t="s">
        <v>47</v>
      </c>
      <c r="D21" s="5" t="s">
        <v>10</v>
      </c>
      <c r="E21" s="3" t="s">
        <v>48</v>
      </c>
    </row>
    <row r="22" customFormat="false" ht="15" hidden="false" customHeight="false" outlineLevel="0" collapsed="false">
      <c r="A22" s="2" t="n">
        <v>21</v>
      </c>
      <c r="B22" s="3" t="s">
        <v>49</v>
      </c>
      <c r="C22" s="3" t="s">
        <v>50</v>
      </c>
      <c r="D22" s="4" t="s">
        <v>7</v>
      </c>
      <c r="E22" s="3" t="s">
        <v>51</v>
      </c>
    </row>
    <row r="23" customFormat="false" ht="15" hidden="false" customHeight="false" outlineLevel="0" collapsed="false">
      <c r="A23" s="2" t="n">
        <v>22</v>
      </c>
      <c r="B23" s="3" t="s">
        <v>49</v>
      </c>
      <c r="C23" s="3" t="s">
        <v>52</v>
      </c>
      <c r="D23" s="4" t="s">
        <v>7</v>
      </c>
      <c r="E23" s="3" t="s">
        <v>53</v>
      </c>
    </row>
    <row r="24" customFormat="false" ht="23.85" hidden="false" customHeight="false" outlineLevel="0" collapsed="false">
      <c r="A24" s="2" t="n">
        <v>23</v>
      </c>
      <c r="B24" s="3" t="s">
        <v>49</v>
      </c>
      <c r="C24" s="3" t="s">
        <v>54</v>
      </c>
      <c r="D24" s="4" t="s">
        <v>7</v>
      </c>
      <c r="E24" s="3" t="s">
        <v>55</v>
      </c>
    </row>
    <row r="25" customFormat="false" ht="15" hidden="false" customHeight="false" outlineLevel="0" collapsed="false">
      <c r="A25" s="2" t="n">
        <v>24</v>
      </c>
      <c r="B25" s="3" t="s">
        <v>49</v>
      </c>
      <c r="C25" s="3" t="s">
        <v>56</v>
      </c>
      <c r="D25" s="6" t="s">
        <v>19</v>
      </c>
      <c r="E25" s="3" t="s">
        <v>57</v>
      </c>
    </row>
    <row r="26" customFormat="false" ht="15" hidden="false" customHeight="false" outlineLevel="0" collapsed="false">
      <c r="A26" s="2" t="n">
        <v>25</v>
      </c>
      <c r="B26" s="3" t="s">
        <v>49</v>
      </c>
      <c r="C26" s="3" t="s">
        <v>58</v>
      </c>
      <c r="D26" s="5" t="s">
        <v>10</v>
      </c>
      <c r="E26" s="3" t="s">
        <v>59</v>
      </c>
    </row>
    <row r="27" customFormat="false" ht="15" hidden="false" customHeight="false" outlineLevel="0" collapsed="false">
      <c r="A27" s="2" t="n">
        <v>26</v>
      </c>
      <c r="B27" s="3" t="s">
        <v>49</v>
      </c>
      <c r="C27" s="3" t="s">
        <v>60</v>
      </c>
      <c r="D27" s="4" t="s">
        <v>7</v>
      </c>
      <c r="E27" s="3" t="s">
        <v>61</v>
      </c>
    </row>
    <row r="28" customFormat="false" ht="15" hidden="false" customHeight="false" outlineLevel="0" collapsed="false">
      <c r="A28" s="2" t="n">
        <v>27</v>
      </c>
      <c r="B28" s="3" t="s">
        <v>49</v>
      </c>
      <c r="C28" s="3" t="s">
        <v>62</v>
      </c>
      <c r="D28" s="6" t="s">
        <v>19</v>
      </c>
      <c r="E28" s="3" t="s">
        <v>63</v>
      </c>
    </row>
    <row r="29" customFormat="false" ht="23.85" hidden="false" customHeight="false" outlineLevel="0" collapsed="false">
      <c r="A29" s="2" t="n">
        <v>28</v>
      </c>
      <c r="B29" s="3" t="s">
        <v>49</v>
      </c>
      <c r="C29" s="3" t="s">
        <v>64</v>
      </c>
      <c r="D29" s="4" t="s">
        <v>7</v>
      </c>
      <c r="E29" s="3" t="s">
        <v>65</v>
      </c>
    </row>
    <row r="30" customFormat="false" ht="15" hidden="false" customHeight="false" outlineLevel="0" collapsed="false">
      <c r="A30" s="2" t="n">
        <v>29</v>
      </c>
      <c r="B30" s="3" t="s">
        <v>49</v>
      </c>
      <c r="C30" s="3" t="s">
        <v>66</v>
      </c>
      <c r="D30" s="5" t="s">
        <v>10</v>
      </c>
      <c r="E30" s="3" t="s">
        <v>67</v>
      </c>
    </row>
    <row r="31" customFormat="false" ht="15" hidden="false" customHeight="false" outlineLevel="0" collapsed="false">
      <c r="A31" s="2" t="n">
        <v>30</v>
      </c>
      <c r="B31" s="3" t="s">
        <v>49</v>
      </c>
      <c r="C31" s="3" t="s">
        <v>68</v>
      </c>
      <c r="D31" s="5" t="s">
        <v>10</v>
      </c>
      <c r="E31" s="3" t="s">
        <v>69</v>
      </c>
    </row>
    <row r="32" customFormat="false" ht="23.85" hidden="false" customHeight="false" outlineLevel="0" collapsed="false">
      <c r="A32" s="2" t="n">
        <v>31</v>
      </c>
      <c r="B32" s="3" t="s">
        <v>49</v>
      </c>
      <c r="C32" s="3" t="s">
        <v>70</v>
      </c>
      <c r="D32" s="6" t="s">
        <v>19</v>
      </c>
      <c r="E32" s="3" t="s">
        <v>71</v>
      </c>
    </row>
    <row r="33" customFormat="false" ht="15" hidden="false" customHeight="false" outlineLevel="0" collapsed="false">
      <c r="A33" s="2" t="n">
        <v>32</v>
      </c>
      <c r="B33" s="3" t="s">
        <v>49</v>
      </c>
      <c r="C33" s="3" t="s">
        <v>72</v>
      </c>
      <c r="D33" s="5" t="s">
        <v>10</v>
      </c>
      <c r="E33" s="3" t="s">
        <v>73</v>
      </c>
    </row>
    <row r="34" customFormat="false" ht="23.85" hidden="false" customHeight="false" outlineLevel="0" collapsed="false">
      <c r="A34" s="2" t="n">
        <v>33</v>
      </c>
      <c r="B34" s="3" t="s">
        <v>49</v>
      </c>
      <c r="C34" s="3" t="s">
        <v>74</v>
      </c>
      <c r="D34" s="6" t="s">
        <v>19</v>
      </c>
      <c r="E34" s="3" t="s">
        <v>75</v>
      </c>
    </row>
    <row r="35" customFormat="false" ht="15" hidden="false" customHeight="false" outlineLevel="0" collapsed="false">
      <c r="A35" s="2" t="n">
        <v>34</v>
      </c>
      <c r="B35" s="3" t="s">
        <v>49</v>
      </c>
      <c r="C35" s="3" t="s">
        <v>76</v>
      </c>
      <c r="D35" s="5" t="s">
        <v>10</v>
      </c>
      <c r="E35" s="3" t="s">
        <v>77</v>
      </c>
    </row>
  </sheetData>
  <autoFilter ref="A1:E35"/>
  <dataValidations count="1">
    <dataValidation allowBlank="false" errorStyle="stop" operator="between" showDropDown="false" showErrorMessage="false" showInputMessage="false" sqref="D2:D35" type="list">
      <formula1>"P0,P1,P2"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7" t="s">
        <v>78</v>
      </c>
    </row>
    <row r="2" customFormat="false" ht="15" hidden="false" customHeight="false" outlineLevel="0" collapsed="false">
      <c r="A2" s="8" t="s">
        <v>79</v>
      </c>
    </row>
    <row r="4" customFormat="false" ht="15" hidden="false" customHeight="false" outlineLevel="0" collapsed="false">
      <c r="A4" s="9" t="s">
        <v>3</v>
      </c>
      <c r="B4" s="9" t="s">
        <v>5</v>
      </c>
      <c r="C4" s="9" t="s">
        <v>49</v>
      </c>
      <c r="D4" s="9" t="s">
        <v>80</v>
      </c>
      <c r="E4" s="9" t="s">
        <v>81</v>
      </c>
    </row>
    <row r="5" customFormat="false" ht="15" hidden="false" customHeight="false" outlineLevel="0" collapsed="false">
      <c r="A5" s="10" t="s">
        <v>7</v>
      </c>
      <c r="B5" s="11" t="n">
        <f aca="false">COUNTIFS('MVP Feature List'!$D$2:$D$35,$A5,'MVP Feature List'!$B$2:$B$35,"Customer Side")</f>
        <v>10</v>
      </c>
      <c r="C5" s="11" t="n">
        <f aca="false">COUNTIFS('MVP Feature List'!$D$2:$D$35,$A5,'MVP Feature List'!$B$2:$B$35,"Admin Side")</f>
        <v>5</v>
      </c>
      <c r="D5" s="11" t="n">
        <f aca="false">B5+C5</f>
        <v>15</v>
      </c>
      <c r="E5" s="12" t="n">
        <f aca="false">IF($D$8=0,0,D5/$D$8)</f>
        <v>0.441176470588235</v>
      </c>
    </row>
    <row r="6" customFormat="false" ht="15" hidden="false" customHeight="false" outlineLevel="0" collapsed="false">
      <c r="A6" s="13" t="s">
        <v>19</v>
      </c>
      <c r="B6" s="11" t="n">
        <f aca="false">COUNTIFS('MVP Feature List'!$D$2:$D$35,$A6,'MVP Feature List'!$B$2:$B$35,"Customer Side")</f>
        <v>4</v>
      </c>
      <c r="C6" s="11" t="n">
        <f aca="false">COUNTIFS('MVP Feature List'!$D$2:$D$35,$A6,'MVP Feature List'!$B$2:$B$35,"Admin Side")</f>
        <v>4</v>
      </c>
      <c r="D6" s="11" t="n">
        <f aca="false">B6+C6</f>
        <v>8</v>
      </c>
      <c r="E6" s="12" t="n">
        <f aca="false">IF($D$8=0,0,D6/$D$8)</f>
        <v>0.235294117647059</v>
      </c>
    </row>
    <row r="7" customFormat="false" ht="15" hidden="false" customHeight="false" outlineLevel="0" collapsed="false">
      <c r="A7" s="14" t="s">
        <v>10</v>
      </c>
      <c r="B7" s="11" t="n">
        <f aca="false">COUNTIFS('MVP Feature List'!$D$2:$D$35,$A7,'MVP Feature List'!$B$2:$B$35,"Customer Side")</f>
        <v>6</v>
      </c>
      <c r="C7" s="11" t="n">
        <f aca="false">COUNTIFS('MVP Feature List'!$D$2:$D$35,$A7,'MVP Feature List'!$B$2:$B$35,"Admin Side")</f>
        <v>5</v>
      </c>
      <c r="D7" s="11" t="n">
        <f aca="false">B7+C7</f>
        <v>11</v>
      </c>
      <c r="E7" s="12" t="n">
        <f aca="false">IF($D$8=0,0,D7/$D$8)</f>
        <v>0.323529411764706</v>
      </c>
    </row>
    <row r="8" customFormat="false" ht="15" hidden="false" customHeight="false" outlineLevel="0" collapsed="false">
      <c r="A8" s="15" t="s">
        <v>80</v>
      </c>
      <c r="B8" s="15" t="n">
        <f aca="false">SUM(B5:B7)</f>
        <v>20</v>
      </c>
      <c r="C8" s="15" t="n">
        <f aca="false">SUM(C5:C7)</f>
        <v>14</v>
      </c>
      <c r="D8" s="15" t="n">
        <f aca="false">SUM(D5:D7)</f>
        <v>34</v>
      </c>
      <c r="E8" s="16" t="n">
        <f aca="false">SUM(E5:E7)</f>
        <v>1</v>
      </c>
    </row>
    <row r="10" customFormat="false" ht="15" hidden="false" customHeight="false" outlineLevel="0" collapsed="false">
      <c r="A10" s="17" t="s">
        <v>82</v>
      </c>
    </row>
    <row r="11" customFormat="false" ht="15" hidden="false" customHeight="false" outlineLevel="0" collapsed="false">
      <c r="A11" s="18" t="s">
        <v>7</v>
      </c>
      <c r="B11" s="19" t="s">
        <v>83</v>
      </c>
    </row>
    <row r="12" customFormat="false" ht="15" hidden="false" customHeight="false" outlineLevel="0" collapsed="false">
      <c r="A12" s="20" t="s">
        <v>19</v>
      </c>
      <c r="B12" s="19" t="s">
        <v>84</v>
      </c>
    </row>
    <row r="13" customFormat="false" ht="15" hidden="false" customHeight="false" outlineLevel="0" collapsed="false">
      <c r="A13" s="21" t="s">
        <v>10</v>
      </c>
      <c r="B13" s="19" t="s">
        <v>85</v>
      </c>
    </row>
    <row r="15" customFormat="false" ht="15" hidden="false" customHeight="false" outlineLevel="0" collapsed="false">
      <c r="A15" s="17" t="s">
        <v>86</v>
      </c>
    </row>
    <row r="16" customFormat="false" ht="15" hidden="false" customHeight="true" outlineLevel="0" collapsed="false">
      <c r="A16" s="22" t="s">
        <v>87</v>
      </c>
      <c r="B16" s="22"/>
      <c r="C16" s="22"/>
      <c r="D16" s="22"/>
      <c r="E16" s="22"/>
    </row>
    <row r="17" customFormat="false" ht="15" hidden="false" customHeight="false" outlineLevel="0" collapsed="false">
      <c r="A17" s="22"/>
      <c r="B17" s="22"/>
      <c r="C17" s="22"/>
      <c r="D17" s="22"/>
      <c r="E17" s="22"/>
    </row>
  </sheetData>
  <mergeCells count="1">
    <mergeCell ref="A16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2026-10-18T04:04:10Z</dcterms:created>
  <dc:creator>openpyxl</dc:creator>
  <dc:description/>
  <dc:language>en-US</dc:language>
  <cp:lastModifiedBy/>
  <dcterms:modified xsi:type="dcterms:W3CDTF">2026-10-18T04:04:10Z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